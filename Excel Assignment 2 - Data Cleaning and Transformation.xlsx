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asishdas\Downloads\"/>
    </mc:Choice>
  </mc:AlternateContent>
  <xr:revisionPtr revIDLastSave="0" documentId="13_ncr:1_{61B60A2F-609B-4F39-BE68-BD13B9A7F502}" xr6:coauthVersionLast="47" xr6:coauthVersionMax="47" xr10:uidLastSave="{00000000-0000-0000-0000-000000000000}"/>
  <bookViews>
    <workbookView xWindow="-110" yWindow="-110" windowWidth="25820" windowHeight="13900" activeTab="1" xr2:uid="{00000000-000D-0000-FFFF-FFFF00000000}"/>
  </bookViews>
  <sheets>
    <sheet name="Instructions" sheetId="1" r:id="rId1"/>
    <sheet name="Datase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rIR6213FxEpgZ/k1UDjxyMHI45/G9Bc960XOAAH4UN4="/>
    </ext>
  </extLst>
</workbook>
</file>

<file path=xl/calcChain.xml><?xml version="1.0" encoding="utf-8"?>
<calcChain xmlns="http://schemas.openxmlformats.org/spreadsheetml/2006/main">
  <c r="H3" i="2" l="1"/>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2" i="2"/>
  <c r="G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alcChain>
</file>

<file path=xl/sharedStrings.xml><?xml version="1.0" encoding="utf-8"?>
<sst xmlns="http://schemas.openxmlformats.org/spreadsheetml/2006/main" count="155" uniqueCount="121">
  <si>
    <t>Perform the following in the dataset from the 'Dataset' sheet.</t>
  </si>
  <si>
    <t>1) Handling Missing Values:</t>
  </si>
  <si>
    <t>• Check for missing values in the 'Price' column. How would you handle products with missing price information?</t>
  </si>
  <si>
    <t>• If there are products with missing categories, propose a strategy to impute or deal with these missing values effectively.</t>
  </si>
  <si>
    <t>2) Correcting Inconsistent Data:</t>
  </si>
  <si>
    <t>• Identify any inconsistent text formats present in the "Product Name" column.</t>
  </si>
  <si>
    <t>• Identify any typos present in the "Category" column.</t>
  </si>
  <si>
    <t>• Use the find and replace function to standardize the text formats in the "Product Name" column and fix any typos or misspellings in the "Category" column.</t>
  </si>
  <si>
    <t>3) Removing Duplicates:</t>
  </si>
  <si>
    <t>• Identify any duplicate rows within the dataset based on the entirety of each row, and remove them if any.</t>
  </si>
  <si>
    <t>4) Splitting and Merging Data:</t>
  </si>
  <si>
    <t>• Split the "Product ID" column into two separate columns for " Manufacturing Date" and "Country Code". Remove unnecessary characters, if any.</t>
  </si>
  <si>
    <t>• Merge the "Brand Name" and "Product Name" columns into one column named "Product Brand".</t>
  </si>
  <si>
    <t>5) Number Formatting:</t>
  </si>
  <si>
    <t xml:space="preserve">• Format the data type of the "Price" column to currency format. </t>
  </si>
  <si>
    <t xml:space="preserve">• Format the "Manufacturing Date" column to display dates in the "DD-MM-YYYY " format. </t>
  </si>
  <si>
    <t>6) Conditional Formatting:</t>
  </si>
  <si>
    <t>• Apply data bar or color scales conditional formatting in the "Price" column.</t>
  </si>
  <si>
    <t>• Create a custom rule for conditional formatting in the "Category" column to highlight cells where the category is "Electronics."</t>
  </si>
  <si>
    <t>Product ID</t>
  </si>
  <si>
    <t>Product Name</t>
  </si>
  <si>
    <t>Brand Name</t>
  </si>
  <si>
    <t>Price ($)</t>
  </si>
  <si>
    <t>Quantity</t>
  </si>
  <si>
    <t>Category</t>
  </si>
  <si>
    <t>28-JAN-US</t>
  </si>
  <si>
    <t>Dell</t>
  </si>
  <si>
    <t>Electronics</t>
  </si>
  <si>
    <t>15-FEB-US</t>
  </si>
  <si>
    <t>Sneakers</t>
  </si>
  <si>
    <t>Nike</t>
  </si>
  <si>
    <t>Fashion</t>
  </si>
  <si>
    <t>03-MAR-US</t>
  </si>
  <si>
    <t>Coffee Maker</t>
  </si>
  <si>
    <t>Keurig</t>
  </si>
  <si>
    <t>Kitchen</t>
  </si>
  <si>
    <t>11-APR-US</t>
  </si>
  <si>
    <t>Samsung</t>
  </si>
  <si>
    <t>22-MAY-US</t>
  </si>
  <si>
    <t>Backpack</t>
  </si>
  <si>
    <t>North Face</t>
  </si>
  <si>
    <t>07-JUN-UK</t>
  </si>
  <si>
    <t>Headphones</t>
  </si>
  <si>
    <t>Sony</t>
  </si>
  <si>
    <t>19-JUL-UK</t>
  </si>
  <si>
    <t>T-shirt</t>
  </si>
  <si>
    <t>Adidas</t>
  </si>
  <si>
    <t>23-AUG-UK</t>
  </si>
  <si>
    <t>Blender</t>
  </si>
  <si>
    <t>Ninja</t>
  </si>
  <si>
    <t>05-SEP-UK</t>
  </si>
  <si>
    <t>Tablet</t>
  </si>
  <si>
    <t>Apple</t>
  </si>
  <si>
    <t>14-OCT-UK</t>
  </si>
  <si>
    <t>Hiking Boots</t>
  </si>
  <si>
    <t>Timberland</t>
  </si>
  <si>
    <t>Outdoor</t>
  </si>
  <si>
    <t>17-JUN-IN</t>
  </si>
  <si>
    <t>Laptop</t>
  </si>
  <si>
    <t>HP</t>
  </si>
  <si>
    <t>25-NOV-AU</t>
  </si>
  <si>
    <t>08-DEC-DE</t>
  </si>
  <si>
    <t>Nespresso</t>
  </si>
  <si>
    <t>18-FEB-CA</t>
  </si>
  <si>
    <t>Smartwatch</t>
  </si>
  <si>
    <t>Fitbit</t>
  </si>
  <si>
    <t>16-APR-ES</t>
  </si>
  <si>
    <t>Bose</t>
  </si>
  <si>
    <t>21-AUG-CA</t>
  </si>
  <si>
    <t>Laptop Bag</t>
  </si>
  <si>
    <t>Samsonite</t>
  </si>
  <si>
    <t>Accessories</t>
  </si>
  <si>
    <t>20-AUG-CN</t>
  </si>
  <si>
    <t>Huawei</t>
  </si>
  <si>
    <t>27-JAN-IT</t>
  </si>
  <si>
    <t>Asus</t>
  </si>
  <si>
    <t>01-MAR-UK</t>
  </si>
  <si>
    <t>Sunglasses</t>
  </si>
  <si>
    <t>Oakley</t>
  </si>
  <si>
    <t>14-AUG-US</t>
  </si>
  <si>
    <t>Camping Tent</t>
  </si>
  <si>
    <t>Coleman</t>
  </si>
  <si>
    <t>14-MAY-RU</t>
  </si>
  <si>
    <t>Camera</t>
  </si>
  <si>
    <t>Nikon</t>
  </si>
  <si>
    <t>09-JAN-CA</t>
  </si>
  <si>
    <t>Microwave</t>
  </si>
  <si>
    <t>Panasonic</t>
  </si>
  <si>
    <t>19-JUL-BR</t>
  </si>
  <si>
    <t>Fitness Tracker</t>
  </si>
  <si>
    <t>Xiaomi</t>
  </si>
  <si>
    <t>29-SEP-CA</t>
  </si>
  <si>
    <t>Smartphone</t>
  </si>
  <si>
    <t>Google</t>
  </si>
  <si>
    <t>03-JUN-CA</t>
  </si>
  <si>
    <t>Ray-Ban</t>
  </si>
  <si>
    <t>11-JUL-CA</t>
  </si>
  <si>
    <t>Vitamix</t>
  </si>
  <si>
    <t>07-MAR-CA</t>
  </si>
  <si>
    <t>Dress</t>
  </si>
  <si>
    <t>Zara</t>
  </si>
  <si>
    <t>13-APR-CA</t>
  </si>
  <si>
    <t>Toaster</t>
  </si>
  <si>
    <t>Hamilton</t>
  </si>
  <si>
    <t>24-MAY-CA</t>
  </si>
  <si>
    <t>Garmin</t>
  </si>
  <si>
    <t>02-DEC-CA</t>
  </si>
  <si>
    <t>Jeans</t>
  </si>
  <si>
    <t>Levi's</t>
  </si>
  <si>
    <t>09-JUL-FR</t>
  </si>
  <si>
    <t>Watch</t>
  </si>
  <si>
    <t>Casio</t>
  </si>
  <si>
    <t>1. Missing values are fetched by selecting the whole table and goto "Go to" feature and select specials, after that select blank option and click ok.</t>
  </si>
  <si>
    <t>2. for correcting incorrect data check each column by custom sort option and select sort by the column name you want and select (A-Z) sort and evaluate each cells using the characters and changes in font etc, After that find and replace each incorrect entries.</t>
  </si>
  <si>
    <t>3. Select all table and goto Data and select remove duplicate.</t>
  </si>
  <si>
    <t>Country Code</t>
  </si>
  <si>
    <t>Manufaturing Date</t>
  </si>
  <si>
    <t>Product Brand</t>
  </si>
  <si>
    <t>4. For splitting used Left and Right Equation and for merging used Merge equation.</t>
  </si>
  <si>
    <t>5. Select price column and goto number format and select the currency. For the manufacturing date using datevalue function and merging by adding the year.</t>
  </si>
  <si>
    <t>6. Using conditonal formating for price by adding data bars and add colour wants. For selecting or highlighting cells by highlighting cells rule in conditional formating and select "equals to" and type the category and select colour.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</si>
</sst>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_ [$₹-4009]\ * #,##0.00_ ;_ [$₹-4009]\ * \-#,##0.00_ ;_ [$₹-4009]\ * &quot;-&quot;??_ ;_ @_ "/>
    <numFmt numFmtId="170" formatCode="dd/mm"/>
  </numFmts>
  <fonts count="10">
    <font>
      <sz val="10"/>
      <color rgb="FF000000"/>
      <name val="Arial"/>
      <scheme val="minor"/>
    </font>
    <font>
      <b/>
      <sz val="11"/>
      <color theme="1"/>
      <name val="Arial"/>
    </font>
    <font>
      <b/>
      <sz val="12"/>
      <color theme="1"/>
      <name val="Times New Roman"/>
    </font>
    <font>
      <sz val="12"/>
      <color theme="1"/>
      <name val="Times New Roman"/>
    </font>
    <font>
      <b/>
      <sz val="11"/>
      <color theme="1"/>
      <name val="Calibri"/>
    </font>
    <font>
      <sz val="10"/>
      <color theme="1"/>
      <name val="Arial"/>
    </font>
    <font>
      <sz val="11"/>
      <color theme="1"/>
      <name val="Times New Roman"/>
    </font>
    <font>
      <b/>
      <sz val="10"/>
      <color theme="1"/>
      <name val="Arial"/>
    </font>
    <font>
      <sz val="10"/>
      <color rgb="FF000000"/>
      <name val="Arial Unicode MS"/>
    </font>
    <font>
      <sz val="10"/>
      <color rgb="FF000000"/>
      <name val="Arial"/>
      <family val="2"/>
      <scheme val="minor"/>
    </font>
  </fonts>
  <fills count="6">
    <fill>
      <patternFill patternType="none"/>
    </fill>
    <fill>
      <patternFill patternType="gray125"/>
    </fill>
    <fill>
      <patternFill patternType="solid">
        <fgColor rgb="FF4DD0E1"/>
        <bgColor rgb="FF4DD0E1"/>
      </patternFill>
    </fill>
    <fill>
      <patternFill patternType="solid">
        <fgColor rgb="FFE0F7FA"/>
        <bgColor rgb="FFE0F7FA"/>
      </patternFill>
    </fill>
    <fill>
      <patternFill patternType="solid">
        <fgColor theme="5"/>
        <bgColor indexed="64"/>
      </patternFill>
    </fill>
    <fill>
      <patternFill patternType="solid">
        <fgColor theme="5"/>
        <bgColor rgb="FFE0F7FA"/>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2" borderId="0" xfId="0" applyFont="1" applyFill="1" applyAlignment="1">
      <alignment horizontal="center"/>
    </xf>
    <xf numFmtId="0" fontId="5" fillId="3" borderId="0" xfId="0" applyFont="1" applyFill="1"/>
    <xf numFmtId="0" fontId="5" fillId="4" borderId="0" xfId="0" applyFont="1" applyFill="1"/>
    <xf numFmtId="0" fontId="5" fillId="5" borderId="0" xfId="0" applyFont="1" applyFill="1"/>
    <xf numFmtId="0" fontId="0" fillId="0" borderId="0" xfId="0" applyAlignment="1">
      <alignment horizontal="center"/>
    </xf>
    <xf numFmtId="0" fontId="0" fillId="0" borderId="0" xfId="0" applyAlignment="1">
      <alignment horizontal="center" wrapText="1"/>
    </xf>
    <xf numFmtId="0" fontId="0" fillId="0" borderId="0" xfId="0"/>
    <xf numFmtId="0" fontId="0" fillId="0" borderId="0" xfId="0" applyAlignment="1">
      <alignment wrapText="1"/>
    </xf>
    <xf numFmtId="0" fontId="8" fillId="0" borderId="0" xfId="0" applyFont="1"/>
    <xf numFmtId="0" fontId="9" fillId="0" borderId="0" xfId="0" applyFont="1"/>
    <xf numFmtId="168" fontId="5" fillId="0" borderId="0" xfId="0" applyNumberFormat="1" applyFont="1"/>
    <xf numFmtId="168" fontId="5" fillId="3" borderId="0" xfId="0" applyNumberFormat="1" applyFont="1" applyFill="1"/>
    <xf numFmtId="168" fontId="5" fillId="5" borderId="0" xfId="0" applyNumberFormat="1" applyFont="1" applyFill="1"/>
    <xf numFmtId="14" fontId="0" fillId="0" borderId="0" xfId="0" applyNumberFormat="1"/>
    <xf numFmtId="170" fontId="0" fillId="0" borderId="0" xfId="0" applyNumberFormat="1"/>
    <xf numFmtId="14" fontId="0" fillId="0" borderId="0" xfId="0" applyNumberFormat="1" applyAlignment="1">
      <alignment horizontal="center"/>
    </xf>
    <xf numFmtId="0" fontId="9" fillId="0" borderId="0" xfId="0" applyFont="1" applyAlignment="1">
      <alignment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000"/>
  <sheetViews>
    <sheetView showGridLines="0" workbookViewId="0">
      <selection activeCell="A23" sqref="A23:M26"/>
    </sheetView>
  </sheetViews>
  <sheetFormatPr defaultColWidth="12.6328125" defaultRowHeight="15" customHeight="1"/>
  <cols>
    <col min="1" max="1" width="12.6328125" customWidth="1"/>
    <col min="2" max="2" width="7.453125" customWidth="1"/>
    <col min="3" max="6" width="12.6328125" customWidth="1"/>
  </cols>
  <sheetData>
    <row r="1" spans="1:11" ht="15.75" customHeight="1">
      <c r="A1" s="1" t="s">
        <v>0</v>
      </c>
    </row>
    <row r="2" spans="1:11" ht="15.75" customHeight="1"/>
    <row r="3" spans="1:11" ht="15.75" customHeight="1">
      <c r="B3" s="2" t="s">
        <v>1</v>
      </c>
    </row>
    <row r="4" spans="1:11" ht="15.75" customHeight="1">
      <c r="C4" s="3" t="s">
        <v>2</v>
      </c>
    </row>
    <row r="5" spans="1:11" ht="15.75" customHeight="1">
      <c r="B5" s="4"/>
      <c r="C5" s="3" t="s">
        <v>3</v>
      </c>
    </row>
    <row r="6" spans="1:11" ht="15.75" customHeight="1">
      <c r="B6" s="4"/>
    </row>
    <row r="7" spans="1:11" ht="15.75" customHeight="1">
      <c r="B7" s="2" t="s">
        <v>4</v>
      </c>
    </row>
    <row r="8" spans="1:11" ht="15.75" customHeight="1">
      <c r="C8" s="3" t="s">
        <v>5</v>
      </c>
    </row>
    <row r="9" spans="1:11" ht="15.75" customHeight="1">
      <c r="C9" s="3" t="s">
        <v>6</v>
      </c>
    </row>
    <row r="10" spans="1:11" ht="15.75" customHeight="1">
      <c r="C10" s="3" t="s">
        <v>7</v>
      </c>
    </row>
    <row r="11" spans="1:11" ht="15.75" customHeight="1">
      <c r="B11" s="4"/>
    </row>
    <row r="12" spans="1:11" ht="15.75" customHeight="1">
      <c r="B12" s="2" t="s">
        <v>8</v>
      </c>
    </row>
    <row r="13" spans="1:11" ht="15.75" customHeight="1">
      <c r="B13" s="2"/>
      <c r="C13" s="3" t="s">
        <v>9</v>
      </c>
    </row>
    <row r="14" spans="1:11" ht="15.75" customHeight="1"/>
    <row r="15" spans="1:11" ht="15.75" customHeight="1">
      <c r="B15" s="2" t="s">
        <v>10</v>
      </c>
      <c r="C15" s="5"/>
      <c r="D15" s="5"/>
      <c r="E15" s="5"/>
      <c r="F15" s="5"/>
      <c r="G15" s="5"/>
      <c r="H15" s="5"/>
      <c r="I15" s="5"/>
      <c r="J15" s="5"/>
      <c r="K15" s="5"/>
    </row>
    <row r="16" spans="1:11" ht="15.75" customHeight="1">
      <c r="B16" s="5"/>
      <c r="C16" s="3" t="s">
        <v>11</v>
      </c>
      <c r="D16" s="5"/>
      <c r="E16" s="5"/>
      <c r="F16" s="5"/>
      <c r="G16" s="5"/>
      <c r="H16" s="5"/>
      <c r="I16" s="5"/>
      <c r="J16" s="5"/>
      <c r="K16" s="5"/>
    </row>
    <row r="17" spans="2:11" ht="15.75" customHeight="1">
      <c r="B17" s="5"/>
      <c r="C17" s="3" t="s">
        <v>12</v>
      </c>
      <c r="D17" s="5"/>
      <c r="E17" s="5"/>
      <c r="F17" s="5"/>
      <c r="G17" s="5"/>
      <c r="H17" s="5"/>
      <c r="I17" s="5"/>
      <c r="J17" s="5"/>
      <c r="K17" s="5"/>
    </row>
    <row r="18" spans="2:11" ht="15.75" customHeight="1">
      <c r="B18" s="5"/>
      <c r="C18" s="5"/>
      <c r="D18" s="5"/>
      <c r="E18" s="5"/>
      <c r="F18" s="5"/>
      <c r="G18" s="5"/>
      <c r="H18" s="5"/>
      <c r="I18" s="5"/>
      <c r="J18" s="5"/>
      <c r="K18" s="5"/>
    </row>
    <row r="19" spans="2:11" ht="15.75" customHeight="1">
      <c r="B19" s="2" t="s">
        <v>13</v>
      </c>
      <c r="C19" s="5"/>
      <c r="D19" s="5"/>
      <c r="E19" s="5"/>
      <c r="F19" s="5"/>
      <c r="G19" s="5"/>
      <c r="H19" s="5"/>
      <c r="I19" s="5"/>
      <c r="J19" s="5"/>
      <c r="K19" s="5"/>
    </row>
    <row r="20" spans="2:11" ht="15.75" customHeight="1">
      <c r="B20" s="5"/>
      <c r="C20" s="3" t="s">
        <v>14</v>
      </c>
      <c r="D20" s="5"/>
      <c r="E20" s="5"/>
      <c r="F20" s="5"/>
      <c r="G20" s="5"/>
      <c r="H20" s="5"/>
      <c r="I20" s="5"/>
      <c r="J20" s="5"/>
      <c r="K20" s="5"/>
    </row>
    <row r="21" spans="2:11" ht="15.75" customHeight="1">
      <c r="B21" s="5"/>
      <c r="C21" s="3" t="s">
        <v>15</v>
      </c>
      <c r="D21" s="5"/>
      <c r="E21" s="5"/>
      <c r="F21" s="5"/>
      <c r="G21" s="5"/>
      <c r="H21" s="5"/>
      <c r="I21" s="5"/>
      <c r="J21" s="5"/>
      <c r="K21" s="5"/>
    </row>
    <row r="22" spans="2:11" ht="15.75" customHeight="1">
      <c r="B22" s="5"/>
      <c r="C22" s="5"/>
      <c r="D22" s="5"/>
      <c r="E22" s="5"/>
      <c r="F22" s="5"/>
      <c r="G22" s="5"/>
      <c r="H22" s="5"/>
      <c r="I22" s="5"/>
      <c r="J22" s="5"/>
      <c r="K22" s="5"/>
    </row>
    <row r="23" spans="2:11" ht="15.75" customHeight="1">
      <c r="B23" s="2" t="s">
        <v>16</v>
      </c>
      <c r="C23" s="5"/>
      <c r="D23" s="5"/>
      <c r="E23" s="5"/>
      <c r="F23" s="5"/>
      <c r="G23" s="5"/>
      <c r="H23" s="5"/>
      <c r="I23" s="5"/>
      <c r="J23" s="5"/>
      <c r="K23" s="5"/>
    </row>
    <row r="24" spans="2:11" ht="15.75" customHeight="1">
      <c r="B24" s="5"/>
      <c r="C24" s="3" t="s">
        <v>17</v>
      </c>
      <c r="D24" s="5"/>
      <c r="E24" s="5"/>
      <c r="F24" s="5"/>
      <c r="G24" s="5"/>
      <c r="H24" s="5"/>
      <c r="I24" s="5"/>
      <c r="J24" s="5"/>
      <c r="K24" s="5"/>
    </row>
    <row r="25" spans="2:11" ht="15.75" customHeight="1">
      <c r="B25" s="5"/>
      <c r="C25" s="3" t="s">
        <v>18</v>
      </c>
      <c r="D25" s="5"/>
      <c r="E25" s="5"/>
      <c r="F25" s="5"/>
      <c r="G25" s="5"/>
      <c r="H25" s="5"/>
      <c r="I25" s="5"/>
      <c r="J25" s="5"/>
      <c r="K25" s="5"/>
    </row>
    <row r="26" spans="2:11" ht="15.75" customHeight="1">
      <c r="B26" s="5"/>
      <c r="C26" s="3"/>
      <c r="D26" s="5"/>
      <c r="E26" s="5"/>
      <c r="F26" s="5"/>
      <c r="G26" s="5"/>
      <c r="H26" s="5"/>
      <c r="I26" s="5"/>
      <c r="J26" s="5"/>
      <c r="K26" s="5"/>
    </row>
    <row r="27" spans="2:11" ht="15.75" customHeight="1">
      <c r="B27" s="5"/>
      <c r="C27" s="5"/>
      <c r="D27" s="6"/>
      <c r="E27" s="5"/>
      <c r="F27" s="5"/>
      <c r="G27" s="5"/>
      <c r="H27" s="5"/>
      <c r="I27" s="5"/>
      <c r="J27" s="5"/>
      <c r="K27" s="5"/>
    </row>
    <row r="28" spans="2:11" ht="15.75" customHeight="1"/>
    <row r="29" spans="2:11" ht="15.75" customHeight="1"/>
    <row r="30" spans="2:11" ht="15.75" customHeight="1"/>
    <row r="31" spans="2:11" ht="15.75" customHeight="1"/>
    <row r="32" spans="2: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Q1000"/>
  <sheetViews>
    <sheetView tabSelected="1" workbookViewId="0">
      <selection activeCell="K19" sqref="K19"/>
    </sheetView>
  </sheetViews>
  <sheetFormatPr defaultColWidth="12.6328125" defaultRowHeight="15" customHeight="1"/>
  <cols>
    <col min="1" max="6" width="12.6328125" customWidth="1"/>
    <col min="7" max="7" width="20.90625" customWidth="1"/>
    <col min="8" max="8" width="27.453125" style="11" customWidth="1"/>
    <col min="9" max="9" width="15.08984375" customWidth="1"/>
    <col min="10" max="10" width="27.26953125" customWidth="1"/>
  </cols>
  <sheetData>
    <row r="1" spans="1:17" ht="15.75" customHeight="1">
      <c r="A1" s="7" t="s">
        <v>19</v>
      </c>
      <c r="B1" s="7" t="s">
        <v>20</v>
      </c>
      <c r="C1" s="7" t="s">
        <v>21</v>
      </c>
      <c r="D1" s="7" t="s">
        <v>22</v>
      </c>
      <c r="E1" s="7" t="s">
        <v>23</v>
      </c>
      <c r="F1" s="7" t="s">
        <v>24</v>
      </c>
      <c r="G1" s="7" t="s">
        <v>116</v>
      </c>
      <c r="H1" s="7" t="s">
        <v>116</v>
      </c>
      <c r="I1" s="7" t="s">
        <v>115</v>
      </c>
      <c r="J1" s="7" t="s">
        <v>117</v>
      </c>
    </row>
    <row r="2" spans="1:17" ht="15.75" customHeight="1">
      <c r="A2" s="5" t="s">
        <v>38</v>
      </c>
      <c r="B2" s="5" t="s">
        <v>39</v>
      </c>
      <c r="C2" s="5" t="s">
        <v>40</v>
      </c>
      <c r="D2" s="17">
        <v>70</v>
      </c>
      <c r="E2" s="5">
        <v>20</v>
      </c>
      <c r="F2" s="9"/>
      <c r="G2" s="21" t="str">
        <f>LEFT(A2,6)</f>
        <v>22-MAY</v>
      </c>
      <c r="H2" s="22">
        <f>DATEVALUE(G2&amp;"-2025")</f>
        <v>45799</v>
      </c>
      <c r="I2" t="str">
        <f>RIGHT(A2,2)</f>
        <v>US</v>
      </c>
      <c r="J2" s="15" t="str">
        <f>C2&amp;" "&amp;B2</f>
        <v>North Face Backpack</v>
      </c>
    </row>
    <row r="3" spans="1:17" ht="15.75" customHeight="1">
      <c r="A3" s="8" t="s">
        <v>47</v>
      </c>
      <c r="B3" s="8" t="s">
        <v>48</v>
      </c>
      <c r="C3" s="8" t="s">
        <v>49</v>
      </c>
      <c r="D3" s="18">
        <v>90</v>
      </c>
      <c r="E3" s="8">
        <v>35</v>
      </c>
      <c r="F3" s="8" t="s">
        <v>35</v>
      </c>
      <c r="G3" s="20" t="str">
        <f t="shared" ref="G3:G32" si="0">LEFT(A3,6)</f>
        <v>23-AUG</v>
      </c>
      <c r="H3" s="22">
        <f t="shared" ref="H3:H32" si="1">DATEVALUE(G3&amp;"-2025")</f>
        <v>45892</v>
      </c>
      <c r="I3" t="str">
        <f t="shared" ref="I3:I32" si="2">RIGHT(A3,2)</f>
        <v>UK</v>
      </c>
      <c r="J3" s="15" t="str">
        <f t="shared" ref="J3:J32" si="3">C3&amp;" "&amp;B3</f>
        <v>Ninja Blender</v>
      </c>
      <c r="K3" s="5"/>
      <c r="L3" s="5"/>
      <c r="M3" s="5"/>
      <c r="N3" s="5"/>
      <c r="O3" s="5"/>
      <c r="P3" s="5"/>
      <c r="Q3" s="5"/>
    </row>
    <row r="4" spans="1:17" ht="15.75" customHeight="1">
      <c r="A4" s="5" t="s">
        <v>96</v>
      </c>
      <c r="B4" s="5" t="s">
        <v>48</v>
      </c>
      <c r="C4" s="5" t="s">
        <v>97</v>
      </c>
      <c r="D4" s="17">
        <v>400</v>
      </c>
      <c r="E4" s="5">
        <v>40</v>
      </c>
      <c r="F4" s="5" t="s">
        <v>35</v>
      </c>
      <c r="G4" s="20" t="str">
        <f t="shared" si="0"/>
        <v>11-JUL</v>
      </c>
      <c r="H4" s="22">
        <f t="shared" si="1"/>
        <v>45849</v>
      </c>
      <c r="I4" t="str">
        <f t="shared" si="2"/>
        <v>CA</v>
      </c>
      <c r="J4" s="15" t="str">
        <f t="shared" si="3"/>
        <v>Vitamix Blender</v>
      </c>
      <c r="K4" s="3"/>
      <c r="L4" s="5"/>
      <c r="M4" s="5"/>
      <c r="N4" s="5"/>
      <c r="O4" s="5"/>
      <c r="P4" s="5"/>
      <c r="Q4" s="5"/>
    </row>
    <row r="5" spans="1:17" ht="15.75" customHeight="1">
      <c r="A5" s="5" t="s">
        <v>82</v>
      </c>
      <c r="B5" s="5" t="s">
        <v>83</v>
      </c>
      <c r="C5" s="5" t="s">
        <v>84</v>
      </c>
      <c r="D5" s="17">
        <v>700</v>
      </c>
      <c r="E5" s="5">
        <v>50</v>
      </c>
      <c r="F5" s="5" t="s">
        <v>27</v>
      </c>
      <c r="G5" s="20" t="str">
        <f t="shared" si="0"/>
        <v>14-MAY</v>
      </c>
      <c r="H5" s="22">
        <f t="shared" si="1"/>
        <v>45791</v>
      </c>
      <c r="I5" t="str">
        <f t="shared" si="2"/>
        <v>RU</v>
      </c>
      <c r="J5" s="15" t="str">
        <f t="shared" si="3"/>
        <v>Nikon Camera</v>
      </c>
      <c r="K5" s="3"/>
      <c r="L5" s="5"/>
      <c r="M5" s="5"/>
      <c r="N5" s="5"/>
      <c r="O5" s="5"/>
      <c r="P5" s="5"/>
      <c r="Q5" s="5"/>
    </row>
    <row r="6" spans="1:17" ht="15.75" customHeight="1">
      <c r="A6" s="8" t="s">
        <v>79</v>
      </c>
      <c r="B6" s="8" t="s">
        <v>80</v>
      </c>
      <c r="C6" s="8" t="s">
        <v>81</v>
      </c>
      <c r="D6" s="19"/>
      <c r="E6" s="8">
        <v>10</v>
      </c>
      <c r="F6" s="8" t="s">
        <v>56</v>
      </c>
      <c r="G6" s="20" t="str">
        <f t="shared" si="0"/>
        <v>14-AUG</v>
      </c>
      <c r="H6" s="22">
        <f t="shared" si="1"/>
        <v>45883</v>
      </c>
      <c r="I6" t="str">
        <f t="shared" si="2"/>
        <v>US</v>
      </c>
      <c r="J6" s="15" t="str">
        <f t="shared" si="3"/>
        <v>Coleman Camping Tent</v>
      </c>
    </row>
    <row r="7" spans="1:17" ht="15.75" customHeight="1">
      <c r="A7" s="5" t="s">
        <v>32</v>
      </c>
      <c r="B7" s="5" t="s">
        <v>33</v>
      </c>
      <c r="C7" s="5" t="s">
        <v>34</v>
      </c>
      <c r="D7" s="17">
        <v>130</v>
      </c>
      <c r="E7" s="5">
        <v>40</v>
      </c>
      <c r="F7" s="5" t="s">
        <v>35</v>
      </c>
      <c r="G7" s="20" t="str">
        <f t="shared" si="0"/>
        <v>03-MAR</v>
      </c>
      <c r="H7" s="22">
        <f t="shared" si="1"/>
        <v>45719</v>
      </c>
      <c r="I7" t="str">
        <f t="shared" si="2"/>
        <v>US</v>
      </c>
      <c r="J7" s="15" t="str">
        <f t="shared" si="3"/>
        <v>Keurig Coffee Maker</v>
      </c>
    </row>
    <row r="8" spans="1:17" ht="15.75" customHeight="1">
      <c r="A8" s="5" t="s">
        <v>61</v>
      </c>
      <c r="B8" s="5" t="s">
        <v>33</v>
      </c>
      <c r="C8" s="5" t="s">
        <v>62</v>
      </c>
      <c r="D8" s="17">
        <v>120</v>
      </c>
      <c r="E8" s="5">
        <v>35</v>
      </c>
      <c r="F8" s="9"/>
      <c r="G8" s="20" t="str">
        <f t="shared" si="0"/>
        <v>08-DEC</v>
      </c>
      <c r="H8" s="22">
        <f t="shared" si="1"/>
        <v>45999</v>
      </c>
      <c r="I8" t="str">
        <f t="shared" si="2"/>
        <v>DE</v>
      </c>
      <c r="J8" s="15" t="str">
        <f t="shared" si="3"/>
        <v>Nespresso Coffee Maker</v>
      </c>
    </row>
    <row r="9" spans="1:17" ht="15.75" customHeight="1">
      <c r="A9" s="5" t="s">
        <v>98</v>
      </c>
      <c r="B9" s="5" t="s">
        <v>99</v>
      </c>
      <c r="C9" s="5" t="s">
        <v>100</v>
      </c>
      <c r="D9" s="17">
        <v>60</v>
      </c>
      <c r="E9" s="5">
        <v>30</v>
      </c>
      <c r="F9" s="5" t="s">
        <v>31</v>
      </c>
      <c r="G9" s="20" t="str">
        <f t="shared" si="0"/>
        <v>07-MAR</v>
      </c>
      <c r="H9" s="22">
        <f t="shared" si="1"/>
        <v>45723</v>
      </c>
      <c r="I9" t="str">
        <f t="shared" si="2"/>
        <v>CA</v>
      </c>
      <c r="J9" s="15" t="str">
        <f t="shared" si="3"/>
        <v>Zara Dress</v>
      </c>
    </row>
    <row r="10" spans="1:17" ht="15.75" customHeight="1">
      <c r="A10" s="5" t="s">
        <v>88</v>
      </c>
      <c r="B10" s="5" t="s">
        <v>89</v>
      </c>
      <c r="C10" s="5" t="s">
        <v>90</v>
      </c>
      <c r="D10" s="17">
        <v>150</v>
      </c>
      <c r="E10" s="5">
        <v>30</v>
      </c>
      <c r="F10" s="9"/>
      <c r="G10" s="20" t="str">
        <f t="shared" si="0"/>
        <v>19-JUL</v>
      </c>
      <c r="H10" s="22">
        <f t="shared" si="1"/>
        <v>45857</v>
      </c>
      <c r="I10" t="str">
        <f t="shared" si="2"/>
        <v>BR</v>
      </c>
      <c r="J10" s="15" t="str">
        <f t="shared" si="3"/>
        <v>Xiaomi Fitness Tracker</v>
      </c>
    </row>
    <row r="11" spans="1:17" ht="15.75" customHeight="1">
      <c r="A11" s="5" t="s">
        <v>104</v>
      </c>
      <c r="B11" s="5" t="s">
        <v>89</v>
      </c>
      <c r="C11" s="5" t="s">
        <v>105</v>
      </c>
      <c r="D11" s="17">
        <v>130</v>
      </c>
      <c r="E11" s="5">
        <v>5</v>
      </c>
      <c r="F11" s="5" t="s">
        <v>27</v>
      </c>
      <c r="G11" s="20" t="str">
        <f t="shared" si="0"/>
        <v>24-MAY</v>
      </c>
      <c r="H11" s="22">
        <f t="shared" si="1"/>
        <v>45801</v>
      </c>
      <c r="I11" t="str">
        <f t="shared" si="2"/>
        <v>CA</v>
      </c>
      <c r="J11" s="15" t="str">
        <f t="shared" si="3"/>
        <v>Garmin Fitness Tracker</v>
      </c>
    </row>
    <row r="12" spans="1:17" ht="15.75" customHeight="1">
      <c r="A12" s="8" t="s">
        <v>41</v>
      </c>
      <c r="B12" s="8" t="s">
        <v>42</v>
      </c>
      <c r="C12" s="8" t="s">
        <v>43</v>
      </c>
      <c r="D12" s="19"/>
      <c r="E12" s="8">
        <v>45</v>
      </c>
      <c r="F12" s="8" t="s">
        <v>27</v>
      </c>
      <c r="G12" s="20" t="str">
        <f t="shared" si="0"/>
        <v>07-JUN</v>
      </c>
      <c r="H12" s="22">
        <f t="shared" si="1"/>
        <v>45815</v>
      </c>
      <c r="I12" t="str">
        <f t="shared" si="2"/>
        <v>UK</v>
      </c>
      <c r="J12" s="15" t="str">
        <f t="shared" si="3"/>
        <v>Sony Headphones</v>
      </c>
    </row>
    <row r="13" spans="1:17" ht="15.75" customHeight="1">
      <c r="A13" s="5" t="s">
        <v>66</v>
      </c>
      <c r="B13" s="5" t="s">
        <v>42</v>
      </c>
      <c r="C13" s="5" t="s">
        <v>67</v>
      </c>
      <c r="D13" s="17">
        <v>250</v>
      </c>
      <c r="E13" s="5">
        <v>20</v>
      </c>
      <c r="F13" s="5" t="s">
        <v>27</v>
      </c>
      <c r="G13" s="20" t="str">
        <f t="shared" si="0"/>
        <v>16-APR</v>
      </c>
      <c r="H13" s="22">
        <f t="shared" si="1"/>
        <v>45763</v>
      </c>
      <c r="I13" t="str">
        <f t="shared" si="2"/>
        <v>ES</v>
      </c>
      <c r="J13" s="15" t="str">
        <f t="shared" si="3"/>
        <v>Bose Headphones</v>
      </c>
    </row>
    <row r="14" spans="1:17" ht="15.75" customHeight="1">
      <c r="A14" s="8" t="s">
        <v>53</v>
      </c>
      <c r="B14" s="8" t="s">
        <v>54</v>
      </c>
      <c r="C14" s="8" t="s">
        <v>55</v>
      </c>
      <c r="D14" s="18">
        <v>130</v>
      </c>
      <c r="E14" s="8">
        <v>10</v>
      </c>
      <c r="F14" s="8" t="s">
        <v>56</v>
      </c>
      <c r="G14" s="20" t="str">
        <f t="shared" si="0"/>
        <v>14-OCT</v>
      </c>
      <c r="H14" s="22">
        <f t="shared" si="1"/>
        <v>45944</v>
      </c>
      <c r="I14" t="str">
        <f t="shared" si="2"/>
        <v>UK</v>
      </c>
      <c r="J14" s="15" t="str">
        <f t="shared" si="3"/>
        <v>Timberland Hiking Boots</v>
      </c>
    </row>
    <row r="15" spans="1:17" ht="15.75" customHeight="1">
      <c r="A15" s="8" t="s">
        <v>106</v>
      </c>
      <c r="B15" s="8" t="s">
        <v>107</v>
      </c>
      <c r="C15" s="8" t="s">
        <v>108</v>
      </c>
      <c r="D15" s="18">
        <v>50</v>
      </c>
      <c r="E15" s="8">
        <v>50</v>
      </c>
      <c r="F15" s="8" t="s">
        <v>31</v>
      </c>
      <c r="G15" s="20" t="str">
        <f t="shared" si="0"/>
        <v>02-DEC</v>
      </c>
      <c r="H15" s="22">
        <f t="shared" si="1"/>
        <v>45993</v>
      </c>
      <c r="I15" t="str">
        <f t="shared" si="2"/>
        <v>CA</v>
      </c>
      <c r="J15" s="15" t="str">
        <f t="shared" si="3"/>
        <v>Levi's Jeans</v>
      </c>
    </row>
    <row r="16" spans="1:17" ht="15.75" customHeight="1">
      <c r="A16" s="5" t="s">
        <v>25</v>
      </c>
      <c r="B16" s="5" t="s">
        <v>58</v>
      </c>
      <c r="C16" s="5" t="s">
        <v>26</v>
      </c>
      <c r="D16" s="17">
        <v>1000</v>
      </c>
      <c r="E16" s="5">
        <v>30</v>
      </c>
      <c r="F16" s="5" t="s">
        <v>27</v>
      </c>
      <c r="G16" s="20" t="str">
        <f t="shared" si="0"/>
        <v>28-JAN</v>
      </c>
      <c r="H16" s="22">
        <f t="shared" si="1"/>
        <v>45685</v>
      </c>
      <c r="I16" t="str">
        <f t="shared" si="2"/>
        <v>US</v>
      </c>
      <c r="J16" s="15" t="str">
        <f t="shared" si="3"/>
        <v>Dell Laptop</v>
      </c>
    </row>
    <row r="17" spans="1:10" ht="15.75" customHeight="1">
      <c r="A17" s="5" t="s">
        <v>57</v>
      </c>
      <c r="B17" s="5" t="s">
        <v>58</v>
      </c>
      <c r="C17" s="5" t="s">
        <v>59</v>
      </c>
      <c r="D17" s="17">
        <v>950</v>
      </c>
      <c r="E17" s="5">
        <v>25</v>
      </c>
      <c r="F17" s="5" t="s">
        <v>27</v>
      </c>
      <c r="G17" s="20" t="str">
        <f t="shared" si="0"/>
        <v>17-JUN</v>
      </c>
      <c r="H17" s="22">
        <f t="shared" si="1"/>
        <v>45825</v>
      </c>
      <c r="I17" t="str">
        <f t="shared" si="2"/>
        <v>IN</v>
      </c>
      <c r="J17" s="15" t="str">
        <f t="shared" si="3"/>
        <v>HP Laptop</v>
      </c>
    </row>
    <row r="18" spans="1:10" ht="15.75" customHeight="1">
      <c r="A18" s="8" t="s">
        <v>74</v>
      </c>
      <c r="B18" s="8" t="s">
        <v>58</v>
      </c>
      <c r="C18" s="8" t="s">
        <v>75</v>
      </c>
      <c r="D18" s="18">
        <v>980</v>
      </c>
      <c r="E18" s="8">
        <v>10</v>
      </c>
      <c r="F18" s="8" t="s">
        <v>27</v>
      </c>
      <c r="G18" s="20" t="str">
        <f t="shared" si="0"/>
        <v>27-JAN</v>
      </c>
      <c r="H18" s="22">
        <f t="shared" si="1"/>
        <v>45684</v>
      </c>
      <c r="I18" t="str">
        <f t="shared" si="2"/>
        <v>IT</v>
      </c>
      <c r="J18" s="15" t="str">
        <f t="shared" si="3"/>
        <v>Asus Laptop</v>
      </c>
    </row>
    <row r="19" spans="1:10" ht="15.75" customHeight="1">
      <c r="A19" s="8" t="s">
        <v>68</v>
      </c>
      <c r="B19" s="8" t="s">
        <v>69</v>
      </c>
      <c r="C19" s="8" t="s">
        <v>70</v>
      </c>
      <c r="D19" s="18">
        <v>50</v>
      </c>
      <c r="E19" s="8">
        <v>35</v>
      </c>
      <c r="F19" s="8" t="s">
        <v>71</v>
      </c>
      <c r="G19" s="20" t="str">
        <f t="shared" si="0"/>
        <v>21-AUG</v>
      </c>
      <c r="H19" s="22">
        <f t="shared" si="1"/>
        <v>45890</v>
      </c>
      <c r="I19" t="str">
        <f t="shared" si="2"/>
        <v>CA</v>
      </c>
      <c r="J19" s="15" t="str">
        <f t="shared" si="3"/>
        <v>Samsonite Laptop Bag</v>
      </c>
    </row>
    <row r="20" spans="1:10" ht="15.75" customHeight="1">
      <c r="A20" s="8" t="s">
        <v>85</v>
      </c>
      <c r="B20" s="8" t="s">
        <v>86</v>
      </c>
      <c r="C20" s="8" t="s">
        <v>87</v>
      </c>
      <c r="D20" s="18">
        <v>80</v>
      </c>
      <c r="E20" s="8">
        <v>20</v>
      </c>
      <c r="F20" s="8" t="s">
        <v>35</v>
      </c>
      <c r="G20" s="20" t="str">
        <f t="shared" si="0"/>
        <v>09-JAN</v>
      </c>
      <c r="H20" s="22">
        <f t="shared" si="1"/>
        <v>45666</v>
      </c>
      <c r="I20" t="str">
        <f t="shared" si="2"/>
        <v>CA</v>
      </c>
      <c r="J20" s="15" t="str">
        <f t="shared" si="3"/>
        <v>Panasonic Microwave</v>
      </c>
    </row>
    <row r="21" spans="1:10" ht="15.75" customHeight="1">
      <c r="A21" s="8" t="s">
        <v>36</v>
      </c>
      <c r="B21" s="8" t="s">
        <v>92</v>
      </c>
      <c r="C21" s="8" t="s">
        <v>37</v>
      </c>
      <c r="D21" s="18">
        <v>900</v>
      </c>
      <c r="E21" s="8">
        <v>25</v>
      </c>
      <c r="F21" s="8" t="s">
        <v>27</v>
      </c>
      <c r="G21" s="20" t="str">
        <f t="shared" si="0"/>
        <v>11-APR</v>
      </c>
      <c r="H21" s="22">
        <f t="shared" si="1"/>
        <v>45758</v>
      </c>
      <c r="I21" t="str">
        <f t="shared" si="2"/>
        <v>US</v>
      </c>
      <c r="J21" s="15" t="str">
        <f t="shared" si="3"/>
        <v>Samsung Smartphone</v>
      </c>
    </row>
    <row r="22" spans="1:10" ht="15.75" customHeight="1">
      <c r="A22" s="5" t="s">
        <v>91</v>
      </c>
      <c r="B22" s="5" t="s">
        <v>92</v>
      </c>
      <c r="C22" s="5" t="s">
        <v>93</v>
      </c>
      <c r="D22" s="17">
        <v>800</v>
      </c>
      <c r="E22" s="5">
        <v>45</v>
      </c>
      <c r="F22" s="5" t="s">
        <v>27</v>
      </c>
      <c r="G22" s="20" t="str">
        <f t="shared" si="0"/>
        <v>29-SEP</v>
      </c>
      <c r="H22" s="22">
        <f t="shared" si="1"/>
        <v>45929</v>
      </c>
      <c r="I22" t="str">
        <f t="shared" si="2"/>
        <v>CA</v>
      </c>
      <c r="J22" s="15" t="str">
        <f t="shared" si="3"/>
        <v>Google Smartphone</v>
      </c>
    </row>
    <row r="23" spans="1:10" ht="15.75" customHeight="1">
      <c r="A23" s="8" t="s">
        <v>63</v>
      </c>
      <c r="B23" s="8" t="s">
        <v>64</v>
      </c>
      <c r="C23" s="8" t="s">
        <v>65</v>
      </c>
      <c r="D23" s="18">
        <v>150</v>
      </c>
      <c r="E23" s="8">
        <v>15</v>
      </c>
      <c r="F23" s="8" t="s">
        <v>27</v>
      </c>
      <c r="G23" s="20" t="str">
        <f t="shared" si="0"/>
        <v>18-FEB</v>
      </c>
      <c r="H23" s="22">
        <f t="shared" si="1"/>
        <v>45706</v>
      </c>
      <c r="I23" t="str">
        <f t="shared" si="2"/>
        <v>CA</v>
      </c>
      <c r="J23" s="15" t="str">
        <f t="shared" si="3"/>
        <v>Fitbit Smartwatch</v>
      </c>
    </row>
    <row r="24" spans="1:10" ht="15.75" customHeight="1">
      <c r="A24" s="5" t="s">
        <v>72</v>
      </c>
      <c r="B24" s="5" t="s">
        <v>64</v>
      </c>
      <c r="C24" s="5" t="s">
        <v>73</v>
      </c>
      <c r="D24" s="17">
        <v>160</v>
      </c>
      <c r="E24" s="5">
        <v>15</v>
      </c>
      <c r="F24" s="5" t="s">
        <v>27</v>
      </c>
      <c r="G24" s="20" t="str">
        <f t="shared" si="0"/>
        <v>20-AUG</v>
      </c>
      <c r="H24" s="22">
        <f t="shared" si="1"/>
        <v>45889</v>
      </c>
      <c r="I24" t="str">
        <f t="shared" si="2"/>
        <v>CN</v>
      </c>
      <c r="J24" s="15" t="str">
        <f t="shared" si="3"/>
        <v>Huawei Smartwatch</v>
      </c>
    </row>
    <row r="25" spans="1:10" ht="15.75" customHeight="1">
      <c r="A25" s="8" t="s">
        <v>28</v>
      </c>
      <c r="B25" s="8" t="s">
        <v>29</v>
      </c>
      <c r="C25" s="8" t="s">
        <v>30</v>
      </c>
      <c r="D25" s="18">
        <v>80</v>
      </c>
      <c r="E25" s="8">
        <v>15</v>
      </c>
      <c r="F25" s="8" t="s">
        <v>31</v>
      </c>
      <c r="G25" s="20" t="str">
        <f t="shared" si="0"/>
        <v>15-FEB</v>
      </c>
      <c r="H25" s="22">
        <f t="shared" si="1"/>
        <v>45703</v>
      </c>
      <c r="I25" t="str">
        <f t="shared" si="2"/>
        <v>US</v>
      </c>
      <c r="J25" s="15" t="str">
        <f t="shared" si="3"/>
        <v>Nike Sneakers</v>
      </c>
    </row>
    <row r="26" spans="1:10" ht="15.75" customHeight="1">
      <c r="A26" s="8" t="s">
        <v>60</v>
      </c>
      <c r="B26" s="8" t="s">
        <v>29</v>
      </c>
      <c r="C26" s="8" t="s">
        <v>46</v>
      </c>
      <c r="D26" s="18">
        <v>90</v>
      </c>
      <c r="E26" s="8">
        <v>40</v>
      </c>
      <c r="F26" s="10"/>
      <c r="G26" s="20" t="str">
        <f t="shared" si="0"/>
        <v>25-NOV</v>
      </c>
      <c r="H26" s="22">
        <f t="shared" si="1"/>
        <v>45986</v>
      </c>
      <c r="I26" t="str">
        <f t="shared" si="2"/>
        <v>AU</v>
      </c>
      <c r="J26" s="15" t="str">
        <f t="shared" si="3"/>
        <v>Adidas Sneakers</v>
      </c>
    </row>
    <row r="27" spans="1:10" ht="15.75" customHeight="1">
      <c r="A27" s="5" t="s">
        <v>76</v>
      </c>
      <c r="B27" s="5" t="s">
        <v>77</v>
      </c>
      <c r="C27" s="5" t="s">
        <v>78</v>
      </c>
      <c r="D27" s="17">
        <v>150</v>
      </c>
      <c r="E27" s="5">
        <v>15</v>
      </c>
      <c r="F27" s="5" t="s">
        <v>31</v>
      </c>
      <c r="G27" s="20" t="str">
        <f t="shared" si="0"/>
        <v>01-MAR</v>
      </c>
      <c r="H27" s="22">
        <f t="shared" si="1"/>
        <v>45717</v>
      </c>
      <c r="I27" t="str">
        <f t="shared" si="2"/>
        <v>UK</v>
      </c>
      <c r="J27" s="15" t="str">
        <f t="shared" si="3"/>
        <v>Oakley Sunglasses</v>
      </c>
    </row>
    <row r="28" spans="1:10" ht="15.75" customHeight="1">
      <c r="A28" s="8" t="s">
        <v>94</v>
      </c>
      <c r="B28" s="8" t="s">
        <v>77</v>
      </c>
      <c r="C28" s="8" t="s">
        <v>95</v>
      </c>
      <c r="D28" s="19"/>
      <c r="E28" s="8">
        <v>25</v>
      </c>
      <c r="F28" s="8" t="s">
        <v>31</v>
      </c>
      <c r="G28" s="20" t="str">
        <f t="shared" si="0"/>
        <v>03-JUN</v>
      </c>
      <c r="H28" s="22">
        <f t="shared" si="1"/>
        <v>45811</v>
      </c>
      <c r="I28" t="str">
        <f t="shared" si="2"/>
        <v>CA</v>
      </c>
      <c r="J28" s="15" t="str">
        <f t="shared" si="3"/>
        <v>Ray-Ban Sunglasses</v>
      </c>
    </row>
    <row r="29" spans="1:10" ht="15.75" customHeight="1">
      <c r="A29" s="5" t="s">
        <v>50</v>
      </c>
      <c r="B29" s="5" t="s">
        <v>51</v>
      </c>
      <c r="C29" s="5" t="s">
        <v>52</v>
      </c>
      <c r="D29" s="17">
        <v>500</v>
      </c>
      <c r="E29" s="5">
        <v>50</v>
      </c>
      <c r="F29" s="5" t="s">
        <v>27</v>
      </c>
      <c r="G29" s="20" t="str">
        <f t="shared" si="0"/>
        <v>05-SEP</v>
      </c>
      <c r="H29" s="22">
        <f t="shared" si="1"/>
        <v>45905</v>
      </c>
      <c r="I29" t="str">
        <f t="shared" si="2"/>
        <v>UK</v>
      </c>
      <c r="J29" s="15" t="str">
        <f t="shared" si="3"/>
        <v>Apple Tablet</v>
      </c>
    </row>
    <row r="30" spans="1:10" ht="15.75" customHeight="1">
      <c r="A30" s="8" t="s">
        <v>101</v>
      </c>
      <c r="B30" s="8" t="s">
        <v>102</v>
      </c>
      <c r="C30" s="8" t="s">
        <v>103</v>
      </c>
      <c r="D30" s="18">
        <v>40</v>
      </c>
      <c r="E30" s="8">
        <v>10</v>
      </c>
      <c r="F30" s="8" t="s">
        <v>35</v>
      </c>
      <c r="G30" s="20" t="str">
        <f t="shared" si="0"/>
        <v>13-APR</v>
      </c>
      <c r="H30" s="22">
        <f t="shared" si="1"/>
        <v>45760</v>
      </c>
      <c r="I30" t="str">
        <f t="shared" si="2"/>
        <v>CA</v>
      </c>
      <c r="J30" s="15" t="str">
        <f t="shared" si="3"/>
        <v>Hamilton Toaster</v>
      </c>
    </row>
    <row r="31" spans="1:10" ht="15.75" customHeight="1">
      <c r="A31" s="5" t="s">
        <v>44</v>
      </c>
      <c r="B31" s="5" t="s">
        <v>45</v>
      </c>
      <c r="C31" s="5" t="s">
        <v>46</v>
      </c>
      <c r="D31" s="17">
        <v>30</v>
      </c>
      <c r="E31" s="5">
        <v>5</v>
      </c>
      <c r="F31" s="5" t="s">
        <v>31</v>
      </c>
      <c r="G31" s="20" t="str">
        <f t="shared" si="0"/>
        <v>19-JUL</v>
      </c>
      <c r="H31" s="22">
        <f t="shared" si="1"/>
        <v>45857</v>
      </c>
      <c r="I31" t="str">
        <f t="shared" si="2"/>
        <v>UK</v>
      </c>
      <c r="J31" s="15" t="str">
        <f t="shared" si="3"/>
        <v>Adidas T-shirt</v>
      </c>
    </row>
    <row r="32" spans="1:10" ht="15.75" customHeight="1">
      <c r="A32" s="8" t="s">
        <v>109</v>
      </c>
      <c r="B32" s="8" t="s">
        <v>110</v>
      </c>
      <c r="C32" s="8" t="s">
        <v>111</v>
      </c>
      <c r="D32" s="18">
        <v>100</v>
      </c>
      <c r="E32" s="8">
        <v>20</v>
      </c>
      <c r="F32" s="8" t="s">
        <v>71</v>
      </c>
      <c r="G32" s="20" t="str">
        <f t="shared" si="0"/>
        <v>09-JUL</v>
      </c>
      <c r="H32" s="22">
        <f t="shared" si="1"/>
        <v>45847</v>
      </c>
      <c r="I32" t="str">
        <f t="shared" si="2"/>
        <v>FR</v>
      </c>
      <c r="J32" s="15" t="str">
        <f t="shared" si="3"/>
        <v>Casio Watch</v>
      </c>
    </row>
    <row r="33" spans="1:6" ht="15.75" customHeight="1"/>
    <row r="34" spans="1:6" ht="15.75" customHeight="1"/>
    <row r="35" spans="1:6" ht="15.75" customHeight="1"/>
    <row r="36" spans="1:6" ht="15.75" customHeight="1"/>
    <row r="37" spans="1:6" ht="15.75" customHeight="1"/>
    <row r="38" spans="1:6" ht="15.75" customHeight="1"/>
    <row r="39" spans="1:6" ht="15.75" customHeight="1"/>
    <row r="40" spans="1:6" ht="15.75" customHeight="1"/>
    <row r="41" spans="1:6" ht="34.5" customHeight="1">
      <c r="A41" s="12" t="s">
        <v>112</v>
      </c>
      <c r="B41" s="12"/>
      <c r="C41" s="12"/>
      <c r="D41" s="12"/>
      <c r="E41" s="12"/>
      <c r="F41" s="12"/>
    </row>
    <row r="42" spans="1:6" ht="15.75" customHeight="1"/>
    <row r="43" spans="1:6" ht="36.5" customHeight="1">
      <c r="A43" s="14" t="s">
        <v>113</v>
      </c>
      <c r="B43" s="14"/>
      <c r="C43" s="14"/>
      <c r="D43" s="14"/>
      <c r="E43" s="14"/>
      <c r="F43" s="14"/>
    </row>
    <row r="44" spans="1:6" ht="15.75" customHeight="1"/>
    <row r="45" spans="1:6" ht="15.75" customHeight="1">
      <c r="A45" s="13" t="s">
        <v>114</v>
      </c>
      <c r="B45" s="13"/>
      <c r="C45" s="13"/>
      <c r="D45" s="13"/>
      <c r="E45" s="13"/>
      <c r="F45" s="13"/>
    </row>
    <row r="46" spans="1:6" ht="15.75" customHeight="1"/>
    <row r="47" spans="1:6" ht="15.75" customHeight="1">
      <c r="A47" s="16" t="s">
        <v>118</v>
      </c>
      <c r="B47" s="13"/>
      <c r="C47" s="13"/>
      <c r="D47" s="13"/>
      <c r="E47" s="13"/>
      <c r="F47" s="13"/>
    </row>
    <row r="48" spans="1:6" ht="15.75" customHeight="1"/>
    <row r="49" spans="1:6" ht="44" customHeight="1">
      <c r="A49" s="23" t="s">
        <v>119</v>
      </c>
      <c r="B49" s="14"/>
      <c r="C49" s="14"/>
      <c r="D49" s="14"/>
      <c r="E49" s="14"/>
      <c r="F49" s="14"/>
    </row>
    <row r="50" spans="1:6" ht="15.75" customHeight="1"/>
    <row r="51" spans="1:6" ht="49.5" customHeight="1">
      <c r="A51" s="23" t="s">
        <v>120</v>
      </c>
      <c r="B51" s="14"/>
      <c r="C51" s="14"/>
      <c r="D51" s="14"/>
      <c r="E51" s="14"/>
      <c r="F51" s="14"/>
    </row>
    <row r="52" spans="1:6" ht="15.75" customHeight="1"/>
    <row r="53" spans="1:6" ht="15.75" customHeight="1"/>
    <row r="54" spans="1:6" ht="15.75" customHeight="1"/>
    <row r="55" spans="1:6" ht="15.75" customHeight="1"/>
    <row r="56" spans="1:6" ht="15.75" customHeight="1"/>
    <row r="57" spans="1:6" ht="15.75" customHeight="1"/>
    <row r="58" spans="1:6" ht="15.75" customHeight="1"/>
    <row r="59" spans="1:6" ht="15.75" customHeight="1"/>
    <row r="60" spans="1:6" ht="15.75" customHeight="1"/>
    <row r="61" spans="1:6" ht="15.75" customHeight="1"/>
    <row r="62" spans="1:6" ht="15.75" customHeight="1"/>
    <row r="63" spans="1:6" ht="15.75" customHeight="1"/>
    <row r="64" spans="1:6"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ortState xmlns:xlrd2="http://schemas.microsoft.com/office/spreadsheetml/2017/richdata2" ref="A2:F35">
    <sortCondition ref="B2:B35"/>
  </sortState>
  <mergeCells count="6">
    <mergeCell ref="A41:F41"/>
    <mergeCell ref="A43:F43"/>
    <mergeCell ref="A45:F45"/>
    <mergeCell ref="A47:F47"/>
    <mergeCell ref="A49:F49"/>
    <mergeCell ref="A51:F51"/>
  </mergeCells>
  <conditionalFormatting sqref="D2:D32">
    <cfRule type="dataBar" priority="2">
      <dataBar>
        <cfvo type="min"/>
        <cfvo type="max"/>
        <color rgb="FF63C384"/>
      </dataBar>
      <extLst>
        <ext xmlns:x14="http://schemas.microsoft.com/office/spreadsheetml/2009/9/main" uri="{B025F937-C7B1-47D3-B67F-A62EFF666E3E}">
          <x14:id>{6E477897-801D-4793-AEF9-33C844AB0BE2}</x14:id>
        </ext>
      </extLst>
    </cfRule>
  </conditionalFormatting>
  <conditionalFormatting sqref="F2:F32">
    <cfRule type="cellIs" dxfId="0" priority="1" operator="equal">
      <formula>"Electronics"</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6E477897-801D-4793-AEF9-33C844AB0BE2}">
            <x14:dataBar minLength="0" maxLength="100" gradient="0">
              <x14:cfvo type="autoMin"/>
              <x14:cfvo type="autoMax"/>
              <x14:negativeFillColor rgb="FFFF0000"/>
              <x14:axisColor rgb="FF000000"/>
            </x14:dataBar>
          </x14:cfRule>
          <xm:sqref>D2:D32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Aasishdas U</cp:lastModifiedBy>
  <dcterms:modified xsi:type="dcterms:W3CDTF">2026-10-11T10:46:29Z</dcterms:modified>
</cp:coreProperties>
</file>